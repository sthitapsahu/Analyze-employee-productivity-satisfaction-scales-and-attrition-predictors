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3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R_Analytics_Data" sheetId="1" state="visible" r:id="rId3"/>
    <sheet name="Analysis" sheetId="2" state="visible" r:id="rId4"/>
    <sheet name="Pivot Tables &amp; Char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<sst xmlns="http://schemas.openxmlformats.org/spreadsheetml/2006/main" count="209" uniqueCount="120">
  <si>
    <t>Employee_ID</t>
  </si>
  <si>
    <t>Employee_Name</t>
  </si>
  <si>
    <t>Department</t>
  </si>
  <si>
    <t>Location</t>
  </si>
  <si>
    <t>Performance_Score</t>
  </si>
  <si>
    <t>Monthly_Hours</t>
  </si>
  <si>
    <t>Projects_Completed</t>
  </si>
  <si>
    <t>Satisfaction_Score</t>
  </si>
  <si>
    <t>Salary_LPA</t>
  </si>
  <si>
    <t>Left_Company</t>
  </si>
  <si>
    <t>IND_HR_1000</t>
  </si>
  <si>
    <t>Aravind Sharma</t>
  </si>
  <si>
    <t>Operations</t>
  </si>
  <si>
    <t>Bengaluru</t>
  </si>
  <si>
    <t>IND_HR_1001</t>
  </si>
  <si>
    <t>Priya Patel</t>
  </si>
  <si>
    <t>Noida</t>
  </si>
  <si>
    <t>IND_HR_1002</t>
  </si>
  <si>
    <t>Rahul Nair</t>
  </si>
  <si>
    <t>Sales</t>
  </si>
  <si>
    <t>Mumbai</t>
  </si>
  <si>
    <t>IND_HR_1003</t>
  </si>
  <si>
    <t>Sneha Rao</t>
  </si>
  <si>
    <t>Data Analytics</t>
  </si>
  <si>
    <t>Pune</t>
  </si>
  <si>
    <t>IND_HR_1004</t>
  </si>
  <si>
    <t>Amit Mishra</t>
  </si>
  <si>
    <t>Engineering</t>
  </si>
  <si>
    <t>IND_HR_1005</t>
  </si>
  <si>
    <t>Ananya Iyer</t>
  </si>
  <si>
    <t>Marketing</t>
  </si>
  <si>
    <t>IND_HR_1006</t>
  </si>
  <si>
    <t>Vikram Singh</t>
  </si>
  <si>
    <t>IND_HR_1007</t>
  </si>
  <si>
    <t>Divya Reddy</t>
  </si>
  <si>
    <t>HR</t>
  </si>
  <si>
    <t>IND_HR_1008</t>
  </si>
  <si>
    <t>Rohan Joshi</t>
  </si>
  <si>
    <t>IND_HR_1009</t>
  </si>
  <si>
    <t>Kriti Verma</t>
  </si>
  <si>
    <t>IND_HR_1010</t>
  </si>
  <si>
    <t>Sandeep Kumar</t>
  </si>
  <si>
    <t>IND_HR_1011</t>
  </si>
  <si>
    <t>Meera Deshmukh</t>
  </si>
  <si>
    <t>IND_HR_1012</t>
  </si>
  <si>
    <t>Aditya Gupta</t>
  </si>
  <si>
    <t>Chennai</t>
  </si>
  <si>
    <t>IND_HR_1013</t>
  </si>
  <si>
    <t>Neha Kulkarni</t>
  </si>
  <si>
    <t>IND_HR_1014</t>
  </si>
  <si>
    <t>Siddharth Rao</t>
  </si>
  <si>
    <t>IND_HR_1015</t>
  </si>
  <si>
    <t>Pooja Choudhury</t>
  </si>
  <si>
    <t>IND_HR_1016</t>
  </si>
  <si>
    <t>Rajesh Pillai</t>
  </si>
  <si>
    <t>IND_HR_1017</t>
  </si>
  <si>
    <t>Swati Saxena</t>
  </si>
  <si>
    <t>Hyderabad</t>
  </si>
  <si>
    <t>IND_HR_1018</t>
  </si>
  <si>
    <t>Manish Tiwari</t>
  </si>
  <si>
    <t>IND_HR_1019</t>
  </si>
  <si>
    <t>Kavita Joshi</t>
  </si>
  <si>
    <t>IND_HR_1020</t>
  </si>
  <si>
    <t>Varun Dhawan</t>
  </si>
  <si>
    <t>IND_HR_1021</t>
  </si>
  <si>
    <t>Shruti Hassan</t>
  </si>
  <si>
    <t>IND_HR_1022</t>
  </si>
  <si>
    <t>Abhishek Banerjee</t>
  </si>
  <si>
    <t>IND_HR_1023</t>
  </si>
  <si>
    <t>Ritu Jha</t>
  </si>
  <si>
    <t>IND_HR_1024</t>
  </si>
  <si>
    <t>Gaurav Kapoor</t>
  </si>
  <si>
    <t>IND_HR_1025</t>
  </si>
  <si>
    <t>Deepika Padukone</t>
  </si>
  <si>
    <t>IND_HR_1026</t>
  </si>
  <si>
    <t>Ranveer Singh</t>
  </si>
  <si>
    <t>IND_HR_1027</t>
  </si>
  <si>
    <t>Alia Bhatt</t>
  </si>
  <si>
    <t>IND_HR_1028</t>
  </si>
  <si>
    <t>Ranbir Kapoor</t>
  </si>
  <si>
    <t>IND_HR_1029</t>
  </si>
  <si>
    <t>Katrina Kaif</t>
  </si>
  <si>
    <t>IND_HR_1030</t>
  </si>
  <si>
    <t>Suresh Raina</t>
  </si>
  <si>
    <t>IND_HR_1031</t>
  </si>
  <si>
    <t>Mahendra Dhoni</t>
  </si>
  <si>
    <t>IND_HR_1032</t>
  </si>
  <si>
    <t>Virat Kohli</t>
  </si>
  <si>
    <t>IND_HR_1033</t>
  </si>
  <si>
    <t>Rohit Sharma</t>
  </si>
  <si>
    <t>IND_HR_1034</t>
  </si>
  <si>
    <t>Jasprit Bumrah</t>
  </si>
  <si>
    <t>IND_HR_1035</t>
  </si>
  <si>
    <t>Hardik Pandya</t>
  </si>
  <si>
    <t>IND_HR_1036</t>
  </si>
  <si>
    <t>Smriti Mandhana</t>
  </si>
  <si>
    <t>IND_HR_1037</t>
  </si>
  <si>
    <t>Harmanpreet Kaur</t>
  </si>
  <si>
    <t>IND_HR_1038</t>
  </si>
  <si>
    <t>Mithali Raj</t>
  </si>
  <si>
    <t>IND_HR_1039</t>
  </si>
  <si>
    <t>Ravindra Jadeja</t>
  </si>
  <si>
    <t>SUM</t>
  </si>
  <si>
    <t>Average Performance</t>
  </si>
  <si>
    <t>Highest Performance</t>
  </si>
  <si>
    <t>Minimum Performance</t>
  </si>
  <si>
    <t>Employees Retained</t>
  </si>
  <si>
    <t>Employees Left</t>
  </si>
  <si>
    <t>KPI</t>
  </si>
  <si>
    <t>Values</t>
  </si>
  <si>
    <t>Total Employees</t>
  </si>
  <si>
    <t>Empliyess Retained</t>
  </si>
  <si>
    <t>Retention Rate</t>
  </si>
  <si>
    <t>Attrition Rate</t>
  </si>
  <si>
    <t>Row Labels</t>
  </si>
  <si>
    <t>Average of Performance_Score</t>
  </si>
  <si>
    <t>Grand Total</t>
  </si>
  <si>
    <t>Count of Employee_ID</t>
  </si>
  <si>
    <t>0 (Retained)</t>
  </si>
  <si>
    <t>1 (Left Company)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</si>
</sst>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₹#,##0.00"/>
    <numFmt numFmtId="166" formatCode="&quot;₹ &quot;#,##0.00"/>
    <numFmt numFmtId="167" formatCode="0%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Noto Sans CJK SC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Average</a:t>
            </a: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 Performance Score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Tables &amp; Charts'!$C$3</c:f>
              <c:strCache>
                <c:ptCount val="1"/>
                <c:pt idx="0">
                  <c:v>Average of Performance_Score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Noto Sans CJK SC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Tables &amp; Charts'!$B$4:$B$10</c:f>
              <c:strCache>
                <c:ptCount val="7"/>
                <c:pt idx="0">
                  <c:v>Data Analytics</c:v>
                </c:pt>
                <c:pt idx="1">
                  <c:v>Engineering</c:v>
                </c:pt>
                <c:pt idx="2">
                  <c:v>HR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Grand Total</c:v>
                </c:pt>
              </c:strCache>
            </c:strRef>
          </c:cat>
          <c:val>
            <c:numRef>
              <c:f>'Pivot Tables &amp; Charts'!$C$4:$C$10</c:f>
              <c:numCache>
                <c:formatCode>General</c:formatCode>
                <c:ptCount val="7"/>
                <c:pt idx="0">
                  <c:v>2.57142857142857</c:v>
                </c:pt>
                <c:pt idx="1">
                  <c:v>2.66666666666667</c:v>
                </c:pt>
                <c:pt idx="2">
                  <c:v>3.125</c:v>
                </c:pt>
                <c:pt idx="3">
                  <c:v>3.14285714285714</c:v>
                </c:pt>
                <c:pt idx="4">
                  <c:v>2.71428571428571</c:v>
                </c:pt>
                <c:pt idx="5">
                  <c:v>3</c:v>
                </c:pt>
                <c:pt idx="6">
                  <c:v>2.875</c:v>
                </c:pt>
              </c:numCache>
            </c:numRef>
          </c:val>
        </c:ser>
        <c:gapWidth val="150"/>
        <c:overlap val="0"/>
        <c:axId val="42249637"/>
        <c:axId val="20803971"/>
      </c:barChart>
      <c:catAx>
        <c:axId val="42249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Noto Sans CJK SC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803971"/>
        <c:crosses val="autoZero"/>
        <c:auto val="1"/>
        <c:lblAlgn val="ctr"/>
        <c:lblOffset val="100"/>
        <c:noMultiLvlLbl val="0"/>
      </c:catAx>
      <c:valAx>
        <c:axId val="208039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Noto Sans CJK SC"/>
                  </a:defRPr>
                </a:pP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Anerage</a:t>
                </a:r>
                <a:r>
                  <a:rPr b="1" lang="en-US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 Performance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22496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Noto Sans CJK SC"/>
              </a:defRPr>
            </a:pP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Employee</a:t>
            </a:r>
            <a:r>
              <a:rPr b="1" lang="en-US" sz="1800" strike="noStrike" u="none">
                <a:solidFill>
                  <a:srgbClr val="000000"/>
                </a:solidFill>
                <a:uFillTx/>
                <a:latin typeface="Calibri"/>
              </a:rPr>
              <a:t> Retention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numFmt formatCode="General" sourceLinked="0"/>
            <c:dLbl>
              <c:idx val="0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, </c:separator>
            </c:dLbl>
            <c:dLbl>
              <c:idx val="1"/>
              <c:numFmt formatCode="General" sourceLinked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eparator>,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, </c:separator>
            <c:showLeaderLines val="1"/>
          </c:dLbls>
          <c:cat>
            <c:strRef>
              <c:f>categories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0</c:f>
              <c:numCache>
                <c:formatCode>General</c:formatCode>
                <c:ptCount val="2"/>
                <c:pt idx="0">
                  <c:v>27</c:v>
                </c:pt>
                <c:pt idx="1">
                  <c:v>13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9360</xdr:colOff>
      <xdr:row>1</xdr:row>
      <xdr:rowOff>0</xdr:rowOff>
    </xdr:from>
    <xdr:to>
      <xdr:col>11</xdr:col>
      <xdr:colOff>542880</xdr:colOff>
      <xdr:row>14</xdr:row>
      <xdr:rowOff>123840</xdr:rowOff>
    </xdr:to>
    <xdr:graphicFrame>
      <xdr:nvGraphicFramePr>
        <xdr:cNvPr id="0" name="Chart 2"/>
        <xdr:cNvGraphicFramePr/>
      </xdr:nvGraphicFramePr>
      <xdr:xfrm>
        <a:off x="5011200" y="190440"/>
        <a:ext cx="5956560" cy="260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600120</xdr:colOff>
      <xdr:row>16</xdr:row>
      <xdr:rowOff>162000</xdr:rowOff>
    </xdr:from>
    <xdr:to>
      <xdr:col>8</xdr:col>
      <xdr:colOff>438120</xdr:colOff>
      <xdr:row>29</xdr:row>
      <xdr:rowOff>47880</xdr:rowOff>
    </xdr:to>
    <xdr:graphicFrame>
      <xdr:nvGraphicFramePr>
        <xdr:cNvPr id="1" name="Chart 3"/>
        <xdr:cNvGraphicFramePr/>
      </xdr:nvGraphicFramePr>
      <xdr:xfrm>
        <a:off x="4827240" y="3210120"/>
        <a:ext cx="3711600" cy="2362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32" colorId="64" zoomScale="80" zoomScaleNormal="80" zoomScalePageLayoutView="80" workbookViewId="0">
      <selection pane="topLeft" activeCell="L11" activeCellId="0" sqref="L11"/>
    </sheetView>
  </sheetViews>
  <sheetFormatPr defaultColWidth="10.00390625" defaultRowHeight="15" outlineLevelRow="0" outlineLevelCol="0"/>
  <cols>
    <col bestFit="false" collapsed="false" customWidth="true" hidden="false" outlineLevel="0" max="1" min="1" style="0" width="14"/>
    <col bestFit="false" collapsed="false" customWidth="true" hidden="false" outlineLevel="0" max="2" min="2" style="0" width="20"/>
    <col bestFit="false" collapsed="false" customWidth="true" hidden="false" outlineLevel="0" max="3" min="3" style="0" width="17"/>
    <col bestFit="false" collapsed="false" customWidth="true" hidden="false" outlineLevel="0" max="4" min="4" style="0" width="12"/>
    <col bestFit="false" collapsed="false" customWidth="true" hidden="false" outlineLevel="0" max="5" min="5" style="0" width="20"/>
    <col bestFit="false" collapsed="false" customWidth="true" hidden="false" outlineLevel="0" max="6" min="6" style="0" width="16"/>
    <col bestFit="false" collapsed="false" customWidth="true" hidden="false" outlineLevel="0" max="8" min="7" style="0" width="21"/>
    <col bestFit="false" collapsed="false" customWidth="true" hidden="false" outlineLevel="0" max="9" min="9" style="0" width="13"/>
    <col bestFit="false" collapsed="false" customWidth="true" hidden="false" outlineLevel="0" max="10" min="10" style="0" width="1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>
      <c r="A2" s="2" t="s">
        <v>10</v>
      </c>
      <c r="B2" s="3" t="s">
        <v>11</v>
      </c>
      <c r="C2" s="3" t="s">
        <v>12</v>
      </c>
      <c r="D2" s="3" t="s">
        <v>13</v>
      </c>
      <c r="E2" s="4" t="n">
        <v>3</v>
      </c>
      <c r="F2" s="4" t="n">
        <v>171</v>
      </c>
      <c r="G2" s="4" t="n">
        <v>7</v>
      </c>
      <c r="H2" s="4" t="n">
        <v>1</v>
      </c>
      <c r="I2" s="5" t="n">
        <v>6.29</v>
      </c>
      <c r="J2" s="4" t="n">
        <v>0</v>
      </c>
    </row>
    <row r="3" ht="15">
      <c r="A3" s="2" t="s">
        <v>14</v>
      </c>
      <c r="B3" s="3" t="s">
        <v>15</v>
      </c>
      <c r="C3" s="3" t="s">
        <v>12</v>
      </c>
      <c r="D3" s="3" t="s">
        <v>16</v>
      </c>
      <c r="E3" s="4" t="n">
        <v>5</v>
      </c>
      <c r="F3" s="4" t="n">
        <v>194</v>
      </c>
      <c r="G3" s="4" t="n">
        <v>2</v>
      </c>
      <c r="H3" s="4" t="n">
        <v>1</v>
      </c>
      <c r="I3" s="5" t="n">
        <v>5.02</v>
      </c>
      <c r="J3" s="4" t="n">
        <v>1</v>
      </c>
    </row>
    <row r="4" ht="15">
      <c r="A4" s="2" t="s">
        <v>17</v>
      </c>
      <c r="B4" s="3" t="s">
        <v>18</v>
      </c>
      <c r="C4" s="3" t="s">
        <v>19</v>
      </c>
      <c r="D4" s="3" t="s">
        <v>20</v>
      </c>
      <c r="E4" s="4" t="n">
        <v>5</v>
      </c>
      <c r="F4" s="4" t="n">
        <v>143</v>
      </c>
      <c r="G4" s="4" t="n">
        <v>7</v>
      </c>
      <c r="H4" s="4" t="n">
        <v>5</v>
      </c>
      <c r="I4" s="5" t="n">
        <v>15.87</v>
      </c>
      <c r="J4" s="4" t="n">
        <v>0</v>
      </c>
    </row>
    <row r="5" ht="15">
      <c r="A5" s="2" t="s">
        <v>21</v>
      </c>
      <c r="B5" s="3" t="s">
        <v>22</v>
      </c>
      <c r="C5" s="3" t="s">
        <v>23</v>
      </c>
      <c r="D5" s="3" t="s">
        <v>24</v>
      </c>
      <c r="E5" s="4" t="n">
        <v>4</v>
      </c>
      <c r="F5" s="4" t="n">
        <v>215</v>
      </c>
      <c r="G5" s="4" t="n">
        <v>4</v>
      </c>
      <c r="H5" s="4" t="n">
        <v>2</v>
      </c>
      <c r="I5" s="5" t="n">
        <v>18.67</v>
      </c>
      <c r="J5" s="4" t="n">
        <v>1</v>
      </c>
    </row>
    <row r="6" ht="15">
      <c r="A6" s="2" t="s">
        <v>25</v>
      </c>
      <c r="B6" s="3" t="s">
        <v>26</v>
      </c>
      <c r="C6" s="3" t="s">
        <v>27</v>
      </c>
      <c r="D6" s="3" t="s">
        <v>20</v>
      </c>
      <c r="E6" s="4" t="n">
        <v>3</v>
      </c>
      <c r="F6" s="4" t="n">
        <v>175</v>
      </c>
      <c r="G6" s="4" t="n">
        <v>4</v>
      </c>
      <c r="H6" s="4" t="n">
        <v>4</v>
      </c>
      <c r="I6" s="5" t="n">
        <v>6.29</v>
      </c>
      <c r="J6" s="4" t="n">
        <v>0</v>
      </c>
    </row>
    <row r="7" ht="15">
      <c r="A7" s="2" t="s">
        <v>28</v>
      </c>
      <c r="B7" s="3" t="s">
        <v>29</v>
      </c>
      <c r="C7" s="3" t="s">
        <v>30</v>
      </c>
      <c r="D7" s="3" t="s">
        <v>13</v>
      </c>
      <c r="E7" s="4" t="n">
        <v>3</v>
      </c>
      <c r="F7" s="4" t="n">
        <v>217</v>
      </c>
      <c r="G7" s="4" t="n">
        <v>2</v>
      </c>
      <c r="H7" s="4" t="n">
        <v>3</v>
      </c>
      <c r="I7" s="5" t="n">
        <v>17.27</v>
      </c>
      <c r="J7" s="4" t="n">
        <v>0</v>
      </c>
    </row>
    <row r="8" ht="15">
      <c r="A8" s="2" t="s">
        <v>31</v>
      </c>
      <c r="B8" s="3" t="s">
        <v>32</v>
      </c>
      <c r="C8" s="3" t="s">
        <v>23</v>
      </c>
      <c r="D8" s="3" t="s">
        <v>13</v>
      </c>
      <c r="E8" s="4" t="n">
        <v>1</v>
      </c>
      <c r="F8" s="4" t="n">
        <v>210</v>
      </c>
      <c r="G8" s="4" t="n">
        <v>7</v>
      </c>
      <c r="H8" s="4" t="n">
        <v>4</v>
      </c>
      <c r="I8" s="5" t="n">
        <v>15.32</v>
      </c>
      <c r="J8" s="4" t="n">
        <v>0</v>
      </c>
    </row>
    <row r="9" ht="15">
      <c r="A9" s="2" t="s">
        <v>33</v>
      </c>
      <c r="B9" s="3" t="s">
        <v>34</v>
      </c>
      <c r="C9" s="3" t="s">
        <v>35</v>
      </c>
      <c r="D9" s="3" t="s">
        <v>16</v>
      </c>
      <c r="E9" s="4" t="n">
        <v>1</v>
      </c>
      <c r="F9" s="4" t="n">
        <v>145</v>
      </c>
      <c r="G9" s="4" t="n">
        <v>4</v>
      </c>
      <c r="H9" s="4" t="n">
        <v>2</v>
      </c>
      <c r="I9" s="5" t="n">
        <v>21.74</v>
      </c>
      <c r="J9" s="4" t="n">
        <v>0</v>
      </c>
    </row>
    <row r="10" ht="15">
      <c r="A10" s="2" t="s">
        <v>36</v>
      </c>
      <c r="B10" s="3" t="s">
        <v>37</v>
      </c>
      <c r="C10" s="3" t="s">
        <v>19</v>
      </c>
      <c r="D10" s="3" t="s">
        <v>13</v>
      </c>
      <c r="E10" s="4" t="n">
        <v>3</v>
      </c>
      <c r="F10" s="4" t="n">
        <v>198</v>
      </c>
      <c r="G10" s="4" t="n">
        <v>4</v>
      </c>
      <c r="H10" s="4" t="n">
        <v>4</v>
      </c>
      <c r="I10" s="5" t="n">
        <v>7.35</v>
      </c>
      <c r="J10" s="4" t="n">
        <v>0</v>
      </c>
    </row>
    <row r="11" ht="15">
      <c r="A11" s="2" t="s">
        <v>38</v>
      </c>
      <c r="B11" s="3" t="s">
        <v>39</v>
      </c>
      <c r="C11" s="3" t="s">
        <v>35</v>
      </c>
      <c r="D11" s="3" t="s">
        <v>20</v>
      </c>
      <c r="E11" s="4" t="n">
        <v>1</v>
      </c>
      <c r="F11" s="4" t="n">
        <v>217</v>
      </c>
      <c r="G11" s="4" t="n">
        <v>6</v>
      </c>
      <c r="H11" s="4" t="n">
        <v>3</v>
      </c>
      <c r="I11" s="5" t="n">
        <v>17.26</v>
      </c>
      <c r="J11" s="4" t="n">
        <v>0</v>
      </c>
    </row>
    <row r="12" ht="15">
      <c r="A12" s="2" t="s">
        <v>40</v>
      </c>
      <c r="B12" s="3" t="s">
        <v>41</v>
      </c>
      <c r="C12" s="3" t="s">
        <v>19</v>
      </c>
      <c r="D12" s="3" t="s">
        <v>24</v>
      </c>
      <c r="E12" s="4" t="n">
        <v>3</v>
      </c>
      <c r="F12" s="4" t="n">
        <v>211</v>
      </c>
      <c r="G12" s="4" t="n">
        <v>4</v>
      </c>
      <c r="H12" s="4" t="n">
        <v>4</v>
      </c>
      <c r="I12" s="5" t="n">
        <v>19.25</v>
      </c>
      <c r="J12" s="4" t="n">
        <v>0</v>
      </c>
    </row>
    <row r="13" ht="15">
      <c r="A13" s="2" t="s">
        <v>42</v>
      </c>
      <c r="B13" s="3" t="s">
        <v>43</v>
      </c>
      <c r="C13" s="3" t="s">
        <v>27</v>
      </c>
      <c r="D13" s="3" t="s">
        <v>20</v>
      </c>
      <c r="E13" s="4" t="n">
        <v>3</v>
      </c>
      <c r="F13" s="4" t="n">
        <v>191</v>
      </c>
      <c r="G13" s="4" t="n">
        <v>4</v>
      </c>
      <c r="H13" s="4" t="n">
        <v>1</v>
      </c>
      <c r="I13" s="5" t="n">
        <v>5.66</v>
      </c>
      <c r="J13" s="4" t="n">
        <v>1</v>
      </c>
    </row>
    <row r="14" ht="15">
      <c r="A14" s="2" t="s">
        <v>44</v>
      </c>
      <c r="B14" s="3" t="s">
        <v>45</v>
      </c>
      <c r="C14" s="3" t="s">
        <v>23</v>
      </c>
      <c r="D14" s="3" t="s">
        <v>46</v>
      </c>
      <c r="E14" s="4" t="n">
        <v>2</v>
      </c>
      <c r="F14" s="4" t="n">
        <v>203</v>
      </c>
      <c r="G14" s="4" t="n">
        <v>7</v>
      </c>
      <c r="H14" s="4" t="n">
        <v>3</v>
      </c>
      <c r="I14" s="5" t="n">
        <v>12.53</v>
      </c>
      <c r="J14" s="4" t="n">
        <v>0</v>
      </c>
    </row>
    <row r="15" ht="15">
      <c r="A15" s="2" t="s">
        <v>47</v>
      </c>
      <c r="B15" s="3" t="s">
        <v>48</v>
      </c>
      <c r="C15" s="3" t="s">
        <v>35</v>
      </c>
      <c r="D15" s="3" t="s">
        <v>20</v>
      </c>
      <c r="E15" s="4" t="n">
        <v>5</v>
      </c>
      <c r="F15" s="4" t="n">
        <v>208</v>
      </c>
      <c r="G15" s="4" t="n">
        <v>4</v>
      </c>
      <c r="H15" s="4" t="n">
        <v>2</v>
      </c>
      <c r="I15" s="5" t="n">
        <v>17.57</v>
      </c>
      <c r="J15" s="4" t="n">
        <v>1</v>
      </c>
    </row>
    <row r="16" ht="15">
      <c r="A16" s="2" t="s">
        <v>49</v>
      </c>
      <c r="B16" s="3" t="s">
        <v>50</v>
      </c>
      <c r="C16" s="3" t="s">
        <v>30</v>
      </c>
      <c r="D16" s="3" t="s">
        <v>16</v>
      </c>
      <c r="E16" s="4" t="n">
        <v>3</v>
      </c>
      <c r="F16" s="4" t="n">
        <v>168</v>
      </c>
      <c r="G16" s="4" t="n">
        <v>3</v>
      </c>
      <c r="H16" s="4" t="n">
        <v>4</v>
      </c>
      <c r="I16" s="5" t="n">
        <v>13.42</v>
      </c>
      <c r="J16" s="4" t="n">
        <v>1</v>
      </c>
    </row>
    <row r="17" ht="15">
      <c r="A17" s="2" t="s">
        <v>51</v>
      </c>
      <c r="B17" s="3" t="s">
        <v>52</v>
      </c>
      <c r="C17" s="3" t="s">
        <v>27</v>
      </c>
      <c r="D17" s="3" t="s">
        <v>13</v>
      </c>
      <c r="E17" s="4" t="n">
        <v>2</v>
      </c>
      <c r="F17" s="4" t="n">
        <v>220</v>
      </c>
      <c r="G17" s="4" t="n">
        <v>3</v>
      </c>
      <c r="H17" s="4" t="n">
        <v>1</v>
      </c>
      <c r="I17" s="5" t="n">
        <v>18.36</v>
      </c>
      <c r="J17" s="4" t="n">
        <v>1</v>
      </c>
    </row>
    <row r="18" ht="15">
      <c r="A18" s="2" t="s">
        <v>53</v>
      </c>
      <c r="B18" s="3" t="s">
        <v>54</v>
      </c>
      <c r="C18" s="3" t="s">
        <v>30</v>
      </c>
      <c r="D18" s="3" t="s">
        <v>16</v>
      </c>
      <c r="E18" s="4" t="n">
        <v>4</v>
      </c>
      <c r="F18" s="4" t="n">
        <v>188</v>
      </c>
      <c r="G18" s="4" t="n">
        <v>6</v>
      </c>
      <c r="H18" s="4" t="n">
        <v>1</v>
      </c>
      <c r="I18" s="5" t="n">
        <v>21.93</v>
      </c>
      <c r="J18" s="4" t="n">
        <v>1</v>
      </c>
    </row>
    <row r="19" ht="15">
      <c r="A19" s="2" t="s">
        <v>55</v>
      </c>
      <c r="B19" s="3" t="s">
        <v>56</v>
      </c>
      <c r="C19" s="3" t="s">
        <v>23</v>
      </c>
      <c r="D19" s="3" t="s">
        <v>57</v>
      </c>
      <c r="E19" s="4" t="n">
        <v>1</v>
      </c>
      <c r="F19" s="4" t="n">
        <v>154</v>
      </c>
      <c r="G19" s="4" t="n">
        <v>6</v>
      </c>
      <c r="H19" s="4" t="n">
        <v>5</v>
      </c>
      <c r="I19" s="5" t="n">
        <v>17.64</v>
      </c>
      <c r="J19" s="4" t="n">
        <v>0</v>
      </c>
    </row>
    <row r="20" ht="15">
      <c r="A20" s="2" t="s">
        <v>58</v>
      </c>
      <c r="B20" s="3" t="s">
        <v>59</v>
      </c>
      <c r="C20" s="3" t="s">
        <v>12</v>
      </c>
      <c r="D20" s="3" t="s">
        <v>57</v>
      </c>
      <c r="E20" s="4" t="n">
        <v>3</v>
      </c>
      <c r="F20" s="4" t="n">
        <v>195</v>
      </c>
      <c r="G20" s="4" t="n">
        <v>3</v>
      </c>
      <c r="H20" s="4" t="n">
        <v>1</v>
      </c>
      <c r="I20" s="5" t="n">
        <v>12.44</v>
      </c>
      <c r="J20" s="4" t="n">
        <v>1</v>
      </c>
    </row>
    <row r="21" ht="15">
      <c r="A21" s="2" t="s">
        <v>60</v>
      </c>
      <c r="B21" s="3" t="s">
        <v>61</v>
      </c>
      <c r="C21" s="3" t="s">
        <v>12</v>
      </c>
      <c r="D21" s="3" t="s">
        <v>46</v>
      </c>
      <c r="E21" s="4" t="n">
        <v>5</v>
      </c>
      <c r="F21" s="4" t="n">
        <v>162</v>
      </c>
      <c r="G21" s="4" t="n">
        <v>2</v>
      </c>
      <c r="H21" s="4" t="n">
        <v>3</v>
      </c>
      <c r="I21" s="5" t="n">
        <v>19.73</v>
      </c>
      <c r="J21" s="4" t="n">
        <v>0</v>
      </c>
    </row>
    <row r="22" ht="15">
      <c r="A22" s="2" t="s">
        <v>62</v>
      </c>
      <c r="B22" s="3" t="s">
        <v>63</v>
      </c>
      <c r="C22" s="3" t="s">
        <v>35</v>
      </c>
      <c r="D22" s="3" t="s">
        <v>46</v>
      </c>
      <c r="E22" s="4" t="n">
        <v>5</v>
      </c>
      <c r="F22" s="4" t="n">
        <v>165</v>
      </c>
      <c r="G22" s="4" t="n">
        <v>3</v>
      </c>
      <c r="H22" s="4" t="n">
        <v>5</v>
      </c>
      <c r="I22" s="5" t="n">
        <v>13.94</v>
      </c>
      <c r="J22" s="4" t="n">
        <v>0</v>
      </c>
    </row>
    <row r="23" ht="15">
      <c r="A23" s="2" t="s">
        <v>64</v>
      </c>
      <c r="B23" s="3" t="s">
        <v>65</v>
      </c>
      <c r="C23" s="3" t="s">
        <v>23</v>
      </c>
      <c r="D23" s="3" t="s">
        <v>13</v>
      </c>
      <c r="E23" s="4" t="n">
        <v>3</v>
      </c>
      <c r="F23" s="4" t="n">
        <v>202</v>
      </c>
      <c r="G23" s="4" t="n">
        <v>4</v>
      </c>
      <c r="H23" s="4" t="n">
        <v>5</v>
      </c>
      <c r="I23" s="5" t="n">
        <v>19.88</v>
      </c>
      <c r="J23" s="4" t="n">
        <v>0</v>
      </c>
    </row>
    <row r="24" ht="15">
      <c r="A24" s="2" t="s">
        <v>66</v>
      </c>
      <c r="B24" s="3" t="s">
        <v>67</v>
      </c>
      <c r="C24" s="3" t="s">
        <v>35</v>
      </c>
      <c r="D24" s="3" t="s">
        <v>20</v>
      </c>
      <c r="E24" s="4" t="n">
        <v>2</v>
      </c>
      <c r="F24" s="4" t="n">
        <v>212</v>
      </c>
      <c r="G24" s="4" t="n">
        <v>2</v>
      </c>
      <c r="H24" s="4" t="n">
        <v>1</v>
      </c>
      <c r="I24" s="5" t="n">
        <v>6</v>
      </c>
      <c r="J24" s="4" t="n">
        <v>1</v>
      </c>
    </row>
    <row r="25" ht="15">
      <c r="A25" s="2" t="s">
        <v>68</v>
      </c>
      <c r="B25" s="3" t="s">
        <v>69</v>
      </c>
      <c r="C25" s="3" t="s">
        <v>30</v>
      </c>
      <c r="D25" s="3" t="s">
        <v>13</v>
      </c>
      <c r="E25" s="4" t="n">
        <v>2</v>
      </c>
      <c r="F25" s="4" t="n">
        <v>156</v>
      </c>
      <c r="G25" s="4" t="n">
        <v>6</v>
      </c>
      <c r="H25" s="4" t="n">
        <v>5</v>
      </c>
      <c r="I25" s="5" t="n">
        <v>7.39</v>
      </c>
      <c r="J25" s="4" t="n">
        <v>0</v>
      </c>
    </row>
    <row r="26" ht="15">
      <c r="A26" s="2" t="s">
        <v>70</v>
      </c>
      <c r="B26" s="3" t="s">
        <v>71</v>
      </c>
      <c r="C26" s="3" t="s">
        <v>23</v>
      </c>
      <c r="D26" s="3" t="s">
        <v>16</v>
      </c>
      <c r="E26" s="4" t="n">
        <v>2</v>
      </c>
      <c r="F26" s="4" t="n">
        <v>209</v>
      </c>
      <c r="G26" s="4" t="n">
        <v>7</v>
      </c>
      <c r="H26" s="4" t="n">
        <v>4</v>
      </c>
      <c r="I26" s="5" t="n">
        <v>8.02</v>
      </c>
      <c r="J26" s="4" t="n">
        <v>0</v>
      </c>
    </row>
    <row r="27" ht="15">
      <c r="A27" s="2" t="s">
        <v>72</v>
      </c>
      <c r="B27" s="3" t="s">
        <v>73</v>
      </c>
      <c r="C27" s="3" t="s">
        <v>35</v>
      </c>
      <c r="D27" s="3" t="s">
        <v>24</v>
      </c>
      <c r="E27" s="4" t="n">
        <v>4</v>
      </c>
      <c r="F27" s="4" t="n">
        <v>206</v>
      </c>
      <c r="G27" s="4" t="n">
        <v>3</v>
      </c>
      <c r="H27" s="4" t="n">
        <v>3</v>
      </c>
      <c r="I27" s="5" t="n">
        <v>8.43</v>
      </c>
      <c r="J27" s="4" t="n">
        <v>0</v>
      </c>
    </row>
    <row r="28" ht="15">
      <c r="A28" s="2" t="s">
        <v>74</v>
      </c>
      <c r="B28" s="3" t="s">
        <v>75</v>
      </c>
      <c r="C28" s="3" t="s">
        <v>35</v>
      </c>
      <c r="D28" s="3" t="s">
        <v>13</v>
      </c>
      <c r="E28" s="4" t="n">
        <v>5</v>
      </c>
      <c r="F28" s="4" t="n">
        <v>169</v>
      </c>
      <c r="G28" s="4" t="n">
        <v>2</v>
      </c>
      <c r="H28" s="4" t="n">
        <v>5</v>
      </c>
      <c r="I28" s="5" t="n">
        <v>5.74</v>
      </c>
      <c r="J28" s="4" t="n">
        <v>0</v>
      </c>
    </row>
    <row r="29" ht="15">
      <c r="A29" s="2" t="s">
        <v>76</v>
      </c>
      <c r="B29" s="3" t="s">
        <v>77</v>
      </c>
      <c r="C29" s="3" t="s">
        <v>12</v>
      </c>
      <c r="D29" s="3" t="s">
        <v>13</v>
      </c>
      <c r="E29" s="4" t="n">
        <v>1</v>
      </c>
      <c r="F29" s="4" t="n">
        <v>144</v>
      </c>
      <c r="G29" s="4" t="n">
        <v>2</v>
      </c>
      <c r="H29" s="4" t="n">
        <v>2</v>
      </c>
      <c r="I29" s="5" t="n">
        <v>13.5</v>
      </c>
      <c r="J29" s="4" t="n">
        <v>1</v>
      </c>
    </row>
    <row r="30" ht="15">
      <c r="A30" s="2" t="s">
        <v>78</v>
      </c>
      <c r="B30" s="3" t="s">
        <v>79</v>
      </c>
      <c r="C30" s="3" t="s">
        <v>35</v>
      </c>
      <c r="D30" s="3" t="s">
        <v>46</v>
      </c>
      <c r="E30" s="4" t="n">
        <v>2</v>
      </c>
      <c r="F30" s="4" t="n">
        <v>209</v>
      </c>
      <c r="G30" s="4" t="n">
        <v>6</v>
      </c>
      <c r="H30" s="4" t="n">
        <v>4</v>
      </c>
      <c r="I30" s="5" t="n">
        <v>14.58</v>
      </c>
      <c r="J30" s="4" t="n">
        <v>0</v>
      </c>
    </row>
    <row r="31" ht="15">
      <c r="A31" s="2" t="s">
        <v>80</v>
      </c>
      <c r="B31" s="3" t="s">
        <v>81</v>
      </c>
      <c r="C31" s="3" t="s">
        <v>19</v>
      </c>
      <c r="D31" s="3" t="s">
        <v>24</v>
      </c>
      <c r="E31" s="4" t="n">
        <v>2</v>
      </c>
      <c r="F31" s="4" t="n">
        <v>152</v>
      </c>
      <c r="G31" s="4" t="n">
        <v>5</v>
      </c>
      <c r="H31" s="4" t="n">
        <v>4</v>
      </c>
      <c r="I31" s="5" t="n">
        <v>10.7</v>
      </c>
      <c r="J31" s="4" t="n">
        <v>0</v>
      </c>
    </row>
    <row r="32" ht="15">
      <c r="A32" s="2" t="s">
        <v>82</v>
      </c>
      <c r="B32" s="3" t="s">
        <v>83</v>
      </c>
      <c r="C32" s="3" t="s">
        <v>30</v>
      </c>
      <c r="D32" s="3" t="s">
        <v>24</v>
      </c>
      <c r="E32" s="4" t="n">
        <v>1</v>
      </c>
      <c r="F32" s="4" t="n">
        <v>147</v>
      </c>
      <c r="G32" s="4" t="n">
        <v>4</v>
      </c>
      <c r="H32" s="4" t="n">
        <v>1</v>
      </c>
      <c r="I32" s="5" t="n">
        <v>18.51</v>
      </c>
      <c r="J32" s="4" t="n">
        <v>0</v>
      </c>
    </row>
    <row r="33" ht="15">
      <c r="A33" s="2" t="s">
        <v>84</v>
      </c>
      <c r="B33" s="3" t="s">
        <v>85</v>
      </c>
      <c r="C33" s="3" t="s">
        <v>27</v>
      </c>
      <c r="D33" s="3" t="s">
        <v>20</v>
      </c>
      <c r="E33" s="4" t="n">
        <v>2</v>
      </c>
      <c r="F33" s="4" t="n">
        <v>208</v>
      </c>
      <c r="G33" s="4" t="n">
        <v>5</v>
      </c>
      <c r="H33" s="4" t="n">
        <v>2</v>
      </c>
      <c r="I33" s="5" t="n">
        <v>6.95</v>
      </c>
      <c r="J33" s="4" t="n">
        <v>1</v>
      </c>
    </row>
    <row r="34" ht="15">
      <c r="A34" s="2" t="s">
        <v>86</v>
      </c>
      <c r="B34" s="3" t="s">
        <v>87</v>
      </c>
      <c r="C34" s="3" t="s">
        <v>19</v>
      </c>
      <c r="D34" s="3" t="s">
        <v>57</v>
      </c>
      <c r="E34" s="4" t="n">
        <v>2</v>
      </c>
      <c r="F34" s="4" t="n">
        <v>149</v>
      </c>
      <c r="G34" s="4" t="n">
        <v>6</v>
      </c>
      <c r="H34" s="4" t="n">
        <v>4</v>
      </c>
      <c r="I34" s="5" t="n">
        <v>6.21</v>
      </c>
      <c r="J34" s="4" t="n">
        <v>0</v>
      </c>
    </row>
    <row r="35" ht="15">
      <c r="A35" s="2" t="s">
        <v>88</v>
      </c>
      <c r="B35" s="3" t="s">
        <v>89</v>
      </c>
      <c r="C35" s="3" t="s">
        <v>12</v>
      </c>
      <c r="D35" s="3" t="s">
        <v>16</v>
      </c>
      <c r="E35" s="4" t="n">
        <v>1</v>
      </c>
      <c r="F35" s="4" t="n">
        <v>170</v>
      </c>
      <c r="G35" s="4" t="n">
        <v>5</v>
      </c>
      <c r="H35" s="4" t="n">
        <v>1</v>
      </c>
      <c r="I35" s="5" t="n">
        <v>12.92</v>
      </c>
      <c r="J35" s="4" t="n">
        <v>0</v>
      </c>
    </row>
    <row r="36" ht="15">
      <c r="A36" s="2" t="s">
        <v>90</v>
      </c>
      <c r="B36" s="3" t="s">
        <v>91</v>
      </c>
      <c r="C36" s="3" t="s">
        <v>30</v>
      </c>
      <c r="D36" s="3" t="s">
        <v>13</v>
      </c>
      <c r="E36" s="4" t="n">
        <v>4</v>
      </c>
      <c r="F36" s="4" t="n">
        <v>140</v>
      </c>
      <c r="G36" s="4" t="n">
        <v>4</v>
      </c>
      <c r="H36" s="4" t="n">
        <v>2</v>
      </c>
      <c r="I36" s="5" t="n">
        <v>20.71</v>
      </c>
      <c r="J36" s="4" t="n">
        <v>1</v>
      </c>
    </row>
    <row r="37" ht="15">
      <c r="A37" s="2" t="s">
        <v>92</v>
      </c>
      <c r="B37" s="3" t="s">
        <v>93</v>
      </c>
      <c r="C37" s="3" t="s">
        <v>30</v>
      </c>
      <c r="D37" s="3" t="s">
        <v>57</v>
      </c>
      <c r="E37" s="4" t="n">
        <v>5</v>
      </c>
      <c r="F37" s="4" t="n">
        <v>202</v>
      </c>
      <c r="G37" s="4" t="n">
        <v>4</v>
      </c>
      <c r="H37" s="4" t="n">
        <v>4</v>
      </c>
      <c r="I37" s="5" t="n">
        <v>8.31</v>
      </c>
      <c r="J37" s="4" t="n">
        <v>0</v>
      </c>
    </row>
    <row r="38" ht="15">
      <c r="A38" s="2" t="s">
        <v>94</v>
      </c>
      <c r="B38" s="3" t="s">
        <v>95</v>
      </c>
      <c r="C38" s="3" t="s">
        <v>27</v>
      </c>
      <c r="D38" s="3" t="s">
        <v>16</v>
      </c>
      <c r="E38" s="4" t="n">
        <v>1</v>
      </c>
      <c r="F38" s="4" t="n">
        <v>180</v>
      </c>
      <c r="G38" s="4" t="n">
        <v>6</v>
      </c>
      <c r="H38" s="4" t="n">
        <v>5</v>
      </c>
      <c r="I38" s="5" t="n">
        <v>12.84</v>
      </c>
      <c r="J38" s="4" t="n">
        <v>0</v>
      </c>
    </row>
    <row r="39" ht="15">
      <c r="A39" s="2" t="s">
        <v>96</v>
      </c>
      <c r="B39" s="3" t="s">
        <v>97</v>
      </c>
      <c r="C39" s="3" t="s">
        <v>23</v>
      </c>
      <c r="D39" s="3" t="s">
        <v>20</v>
      </c>
      <c r="E39" s="4" t="n">
        <v>5</v>
      </c>
      <c r="F39" s="4" t="n">
        <v>150</v>
      </c>
      <c r="G39" s="4" t="n">
        <v>2</v>
      </c>
      <c r="H39" s="4" t="n">
        <v>1</v>
      </c>
      <c r="I39" s="5" t="n">
        <v>14.91</v>
      </c>
      <c r="J39" s="4" t="n">
        <v>1</v>
      </c>
    </row>
    <row r="40" ht="15">
      <c r="A40" s="2" t="s">
        <v>98</v>
      </c>
      <c r="B40" s="3" t="s">
        <v>99</v>
      </c>
      <c r="C40" s="3" t="s">
        <v>12</v>
      </c>
      <c r="D40" s="3" t="s">
        <v>20</v>
      </c>
      <c r="E40" s="4" t="n">
        <v>1</v>
      </c>
      <c r="F40" s="4" t="n">
        <v>212</v>
      </c>
      <c r="G40" s="4" t="n">
        <v>6</v>
      </c>
      <c r="H40" s="4" t="n">
        <v>4</v>
      </c>
      <c r="I40" s="5" t="n">
        <v>5.2</v>
      </c>
      <c r="J40" s="4" t="n">
        <v>0</v>
      </c>
    </row>
    <row r="41" ht="15">
      <c r="A41" s="2" t="s">
        <v>100</v>
      </c>
      <c r="B41" s="3" t="s">
        <v>101</v>
      </c>
      <c r="C41" s="3" t="s">
        <v>27</v>
      </c>
      <c r="D41" s="3" t="s">
        <v>24</v>
      </c>
      <c r="E41" s="4" t="n">
        <v>5</v>
      </c>
      <c r="F41" s="4" t="n">
        <v>206</v>
      </c>
      <c r="G41" s="4" t="n">
        <v>4</v>
      </c>
      <c r="H41" s="4" t="n">
        <v>5</v>
      </c>
      <c r="I41" s="5" t="n">
        <v>8.07</v>
      </c>
      <c r="J41" s="4" t="n">
        <v>0</v>
      </c>
    </row>
    <row r="42" ht="15">
      <c r="A42" s="6"/>
      <c r="B42" s="7"/>
      <c r="C42" s="7"/>
      <c r="D42" s="7"/>
      <c r="E42" s="8"/>
      <c r="F42" s="8"/>
      <c r="G42" s="8"/>
      <c r="H42" s="8"/>
      <c r="I42" s="9"/>
      <c r="J42" s="8"/>
    </row>
    <row r="43" ht="15">
      <c r="D43" s="10" t="s">
        <v>102</v>
      </c>
      <c r="E43" s="11" t="n">
        <f aca="false">SUM(E2:E41)</f>
        <v>115</v>
      </c>
      <c r="F43" s="11" t="n">
        <f aca="false">SUM(F2:F41)</f>
        <v>7373</v>
      </c>
      <c r="G43" s="11" t="n">
        <f aca="false">SUM(G2:G41)</f>
        <v>175</v>
      </c>
      <c r="H43" s="11" t="n">
        <f aca="false">SUM(H2:H41)</f>
        <v>121</v>
      </c>
      <c r="I43" s="11" t="n">
        <f aca="false">SUM(I2:I41)</f>
        <v>512.42</v>
      </c>
      <c r="J43" s="11" t="n">
        <f aca="false">SUM(J2:J41)</f>
        <v>13</v>
      </c>
    </row>
    <row r="44" ht="15">
      <c r="D44" s="10" t="s">
        <v>103</v>
      </c>
      <c r="E44" s="11" t="n">
        <f aca="false">AVERAGE(E2:E41)</f>
        <v>2.875</v>
      </c>
      <c r="F44" s="11" t="n">
        <f aca="false">AVERAGE(F2:F41)</f>
        <v>184.325</v>
      </c>
      <c r="G44" s="11" t="n">
        <f aca="false">AVERAGE(G2:G41)</f>
        <v>4.375</v>
      </c>
      <c r="H44" s="11" t="n">
        <f aca="false">AVERAGE(H2:H41)</f>
        <v>3.025</v>
      </c>
      <c r="I44" s="11" t="n">
        <f aca="false">AVERAGE(I2:I41)</f>
        <v>12.8105</v>
      </c>
      <c r="J44" s="11" t="n">
        <f aca="false">AVERAGE(J2:J41)</f>
        <v>0.325</v>
      </c>
    </row>
    <row r="45" ht="15">
      <c r="D45" s="10" t="s">
        <v>104</v>
      </c>
      <c r="E45" s="11" t="n">
        <f aca="false">MAX(E2:E41)</f>
        <v>5</v>
      </c>
      <c r="F45" s="11" t="n">
        <f aca="false">MAX(F2:F41)</f>
        <v>220</v>
      </c>
      <c r="G45" s="11" t="n">
        <f aca="false">MAX(G2:G41)</f>
        <v>7</v>
      </c>
      <c r="H45" s="11" t="n">
        <f aca="false">MAX(H2:H41)</f>
        <v>5</v>
      </c>
      <c r="I45" s="11" t="n">
        <f aca="false">MAX(I2:I41)</f>
        <v>21.93</v>
      </c>
      <c r="J45" s="11" t="n">
        <f aca="false">MAX(J2:J41)</f>
        <v>1</v>
      </c>
    </row>
    <row r="46" ht="15">
      <c r="D46" s="10" t="s">
        <v>105</v>
      </c>
      <c r="E46" s="11" t="n">
        <f aca="false">MIN(E2:E41)</f>
        <v>1</v>
      </c>
      <c r="F46" s="11" t="n">
        <f aca="false">MIN(F2:F41)</f>
        <v>140</v>
      </c>
      <c r="G46" s="11" t="n">
        <f aca="false">MIN(G2:G41)</f>
        <v>2</v>
      </c>
      <c r="H46" s="11" t="n">
        <f aca="false">MIN(H2:H41)</f>
        <v>1</v>
      </c>
      <c r="I46" s="11" t="n">
        <f aca="false">MIN(I2:I41)</f>
        <v>5.02</v>
      </c>
      <c r="J46" s="11" t="n">
        <f aca="false">MIN(J2:J41)</f>
        <v>0</v>
      </c>
    </row>
    <row r="47" ht="15">
      <c r="D47" s="10" t="s">
        <v>106</v>
      </c>
      <c r="E47" s="11"/>
      <c r="F47" s="11"/>
      <c r="G47" s="11"/>
      <c r="H47" s="11"/>
      <c r="I47" s="11"/>
      <c r="J47" s="11" t="n">
        <f aca="false">COUNTIF(J2:J41, "0")</f>
        <v>27</v>
      </c>
    </row>
    <row r="48" ht="15">
      <c r="D48" s="10" t="s">
        <v>107</v>
      </c>
      <c r="E48" s="11"/>
      <c r="F48" s="11"/>
      <c r="G48" s="11"/>
      <c r="H48" s="11"/>
      <c r="I48" s="11"/>
      <c r="J48" s="11" t="n">
        <f aca="false">COUNTIF(J2:J41, "1")</f>
        <v>13</v>
      </c>
    </row>
    <row r="49" ht="15">
      <c r="D49" s="11"/>
      <c r="E49" s="11"/>
      <c r="F49" s="11"/>
      <c r="G49" s="11"/>
      <c r="H49" s="11"/>
      <c r="I49" s="11"/>
      <c r="J49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00390625" defaultRowHeight="15" outlineLevelRow="0" outlineLevelCol="0"/>
  <cols>
    <col bestFit="true" collapsed="false" customWidth="true" hidden="false" outlineLevel="0" max="1" min="1" style="0" width="21.85"/>
    <col bestFit="true" collapsed="false" customWidth="true" hidden="false" outlineLevel="0" max="2" min="2" style="0" width="18.57"/>
    <col bestFit="true" collapsed="false" customWidth="true" hidden="false" outlineLevel="0" max="3" min="3" style="0" width="14.85"/>
    <col bestFit="true" collapsed="false" customWidth="true" hidden="false" outlineLevel="0" max="4" min="4" style="0" width="19.28"/>
    <col bestFit="true" collapsed="false" customWidth="true" hidden="false" outlineLevel="0" max="5" min="5" style="0" width="17.43"/>
    <col bestFit="true" collapsed="false" customWidth="true" hidden="false" outlineLevel="0" max="6" min="6" style="0" width="10.57"/>
    <col bestFit="true" collapsed="false" customWidth="true" hidden="false" outlineLevel="0" max="7" min="7" style="0" width="13.85"/>
    <col bestFit="true" collapsed="false" customWidth="true" hidden="false" outlineLevel="0" max="11" min="11" style="0" width="18.57"/>
  </cols>
  <sheetData>
    <row r="1" ht="15">
      <c r="K1" s="12"/>
      <c r="L1" s="12"/>
    </row>
    <row r="2" ht="15">
      <c r="A2" s="1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K2" s="13"/>
      <c r="L2" s="13"/>
    </row>
    <row r="3" ht="15">
      <c r="A3" s="11" t="s">
        <v>102</v>
      </c>
      <c r="B3" s="11" t="n">
        <v>115</v>
      </c>
      <c r="C3" s="11" t="n">
        <v>7373</v>
      </c>
      <c r="D3" s="11" t="n">
        <v>175</v>
      </c>
      <c r="E3" s="11" t="n">
        <v>121</v>
      </c>
      <c r="F3" s="14" t="n">
        <v>512.42</v>
      </c>
      <c r="G3" s="11" t="n">
        <v>13</v>
      </c>
      <c r="K3" s="12"/>
      <c r="L3" s="12"/>
    </row>
    <row r="4" ht="15">
      <c r="A4" s="10" t="s">
        <v>103</v>
      </c>
      <c r="B4" s="11" t="n">
        <v>2.875</v>
      </c>
      <c r="C4" s="11" t="n">
        <v>184.325</v>
      </c>
      <c r="D4" s="11" t="n">
        <v>4.375</v>
      </c>
      <c r="E4" s="11" t="n">
        <v>3.025</v>
      </c>
      <c r="F4" s="14" t="n">
        <v>12.8105</v>
      </c>
      <c r="G4" s="11" t="n">
        <v>0.325</v>
      </c>
      <c r="K4" s="15"/>
      <c r="L4" s="15"/>
    </row>
    <row r="5" ht="15">
      <c r="A5" s="10" t="s">
        <v>104</v>
      </c>
      <c r="B5" s="11" t="n">
        <v>5</v>
      </c>
      <c r="C5" s="11" t="n">
        <v>220</v>
      </c>
      <c r="D5" s="11" t="n">
        <v>7</v>
      </c>
      <c r="E5" s="11" t="n">
        <v>5</v>
      </c>
      <c r="F5" s="14" t="n">
        <v>21.93</v>
      </c>
      <c r="G5" s="11" t="n">
        <v>1</v>
      </c>
      <c r="K5" s="15"/>
      <c r="L5" s="15"/>
    </row>
    <row r="6" ht="15">
      <c r="A6" s="10" t="s">
        <v>105</v>
      </c>
      <c r="B6" s="11" t="n">
        <v>1</v>
      </c>
      <c r="C6" s="11" t="n">
        <v>140</v>
      </c>
      <c r="D6" s="11" t="n">
        <v>2</v>
      </c>
      <c r="E6" s="11" t="n">
        <v>1</v>
      </c>
      <c r="F6" s="14" t="n">
        <v>5.02</v>
      </c>
      <c r="G6" s="11" t="n">
        <v>0</v>
      </c>
      <c r="K6" s="15"/>
      <c r="L6" s="16"/>
    </row>
    <row r="7" ht="15">
      <c r="A7" s="10" t="s">
        <v>106</v>
      </c>
      <c r="B7" s="11"/>
      <c r="C7" s="11"/>
      <c r="D7" s="11"/>
      <c r="E7" s="11"/>
      <c r="F7" s="14"/>
      <c r="G7" s="11" t="n">
        <v>27</v>
      </c>
      <c r="K7" s="15"/>
      <c r="L7" s="16"/>
    </row>
    <row r="8" ht="15">
      <c r="A8" s="10" t="s">
        <v>107</v>
      </c>
      <c r="B8" s="11"/>
      <c r="C8" s="11"/>
      <c r="D8" s="11"/>
      <c r="E8" s="11"/>
      <c r="F8" s="14"/>
      <c r="G8" s="11" t="n">
        <v>13</v>
      </c>
    </row>
    <row r="9" ht="15">
      <c r="A9" s="17"/>
    </row>
    <row r="10" ht="15">
      <c r="A10" s="18"/>
      <c r="B10" s="18"/>
      <c r="C10" s="18"/>
    </row>
    <row r="11" ht="15">
      <c r="C11" s="18"/>
    </row>
    <row r="12" ht="15">
      <c r="A12" s="1" t="s">
        <v>108</v>
      </c>
      <c r="B12" s="1" t="s">
        <v>109</v>
      </c>
      <c r="C12" s="18"/>
    </row>
    <row r="13" ht="15">
      <c r="A13" s="11" t="s">
        <v>110</v>
      </c>
      <c r="B13" s="11" t="n">
        <v>40</v>
      </c>
      <c r="C13" s="18"/>
    </row>
    <row r="14" ht="15">
      <c r="A14" s="11" t="s">
        <v>111</v>
      </c>
      <c r="B14" s="11" t="n">
        <v>27</v>
      </c>
      <c r="C14" s="18"/>
    </row>
    <row r="15" ht="15">
      <c r="A15" s="11" t="s">
        <v>107</v>
      </c>
      <c r="B15" s="11" t="n">
        <v>13</v>
      </c>
      <c r="C15" s="18"/>
    </row>
    <row r="16" ht="15">
      <c r="A16" s="11" t="s">
        <v>112</v>
      </c>
      <c r="B16" s="19" t="n">
        <f aca="false">27/40</f>
        <v>0.675</v>
      </c>
      <c r="C16" s="18"/>
    </row>
    <row r="17" ht="15">
      <c r="A17" s="11" t="s">
        <v>113</v>
      </c>
      <c r="B17" s="19" t="n">
        <f aca="false">13/40</f>
        <v>0.325</v>
      </c>
      <c r="C17" s="18"/>
    </row>
    <row r="18" ht="15">
      <c r="C18" s="1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80" workbookViewId="0">
      <selection pane="topLeft" activeCell="B12" activeCellId="0" sqref="B12"/>
    </sheetView>
  </sheetViews>
  <sheetFormatPr defaultColWidth="10.00390625" defaultRowHeight="15" outlineLevelRow="0" outlineLevelCol="0"/>
  <cols>
    <col bestFit="false" collapsed="false" customWidth="true" hidden="false" outlineLevel="0" max="2" min="2" style="0" width="15.71"/>
    <col bestFit="true" collapsed="false" customWidth="true" hidden="false" outlineLevel="0" max="3" min="3" style="0" width="28.85"/>
  </cols>
  <sheetData>
    <row r="3" ht="15">
      <c r="B3" s="11" t="s">
        <v>114</v>
      </c>
      <c r="C3" s="11" t="s">
        <v>115</v>
      </c>
    </row>
    <row r="4" ht="15">
      <c r="B4" s="20" t="s">
        <v>23</v>
      </c>
      <c r="C4" s="21" t="n">
        <v>2.57142857142857</v>
      </c>
    </row>
    <row r="5" ht="15">
      <c r="B5" s="20" t="s">
        <v>27</v>
      </c>
      <c r="C5" s="21" t="n">
        <v>2.66666666666667</v>
      </c>
    </row>
    <row r="6" ht="15">
      <c r="B6" s="20" t="s">
        <v>35</v>
      </c>
      <c r="C6" s="21" t="n">
        <v>3.125</v>
      </c>
    </row>
    <row r="7" ht="15">
      <c r="B7" s="20" t="s">
        <v>30</v>
      </c>
      <c r="C7" s="21" t="n">
        <v>3.14285714285714</v>
      </c>
    </row>
    <row r="8" ht="15">
      <c r="B8" s="20" t="s">
        <v>12</v>
      </c>
      <c r="C8" s="21" t="n">
        <v>2.71428571428571</v>
      </c>
    </row>
    <row r="9" ht="15">
      <c r="B9" s="20" t="s">
        <v>19</v>
      </c>
      <c r="C9" s="21" t="n">
        <v>3</v>
      </c>
    </row>
    <row r="10" ht="15">
      <c r="B10" s="20" t="s">
        <v>116</v>
      </c>
      <c r="C10" s="21" t="n">
        <v>2.875</v>
      </c>
    </row>
    <row r="19" ht="15">
      <c r="B19" s="11" t="s">
        <v>114</v>
      </c>
      <c r="C19" s="11" t="s">
        <v>117</v>
      </c>
    </row>
    <row r="20" ht="15">
      <c r="B20" s="20" t="s">
        <v>118</v>
      </c>
      <c r="C20" s="21" t="n">
        <v>27</v>
      </c>
    </row>
    <row r="21" ht="15">
      <c r="B21" s="20" t="s">
        <v>119</v>
      </c>
      <c r="C21" s="21" t="n">
        <v>13</v>
      </c>
    </row>
    <row r="22" ht="15">
      <c r="B22" s="20" t="s">
        <v>116</v>
      </c>
      <c r="C22" s="21" t="n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2026-06-26T06:55:30Z</dcterms:created>
  <dc:creator>openpyxl</dc:creator>
  <dc:description/>
  <dc:language>zh-CN</dc:language>
  <cp:lastModifiedBy>ADMIN</cp:lastModifiedBy>
  <dcterms:modified xsi:type="dcterms:W3CDTF">2026-06-26T09:03:30Z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